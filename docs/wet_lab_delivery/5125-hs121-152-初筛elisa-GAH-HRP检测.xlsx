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05BD33-FEB2-4CFD-A227-6529DA486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</workbook>
</file>

<file path=xl/calcChain.xml><?xml version="1.0" encoding="utf-8"?>
<calcChain xmlns="http://schemas.openxmlformats.org/spreadsheetml/2006/main"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T4" i="2"/>
  <c r="S4" i="2"/>
  <c r="O4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4" i="2"/>
</calcChain>
</file>

<file path=xl/sharedStrings.xml><?xml version="1.0" encoding="utf-8"?>
<sst xmlns="http://schemas.openxmlformats.org/spreadsheetml/2006/main" count="79" uniqueCount="40">
  <si>
    <t>HBsAg-Ce</t>
  </si>
  <si>
    <t>HBsAg-D1</t>
  </si>
  <si>
    <t>pH 6.0(0.8ng/mL)</t>
    <phoneticPr fontId="2" type="noConversion"/>
  </si>
  <si>
    <t>average</t>
  </si>
  <si>
    <t>pH 7.4(0.8ng/mL)</t>
    <phoneticPr fontId="2" type="noConversion"/>
  </si>
  <si>
    <t>比值</t>
    <phoneticPr fontId="2" type="noConversion"/>
  </si>
  <si>
    <t>5125-hu-Fcm3A</t>
  </si>
  <si>
    <t>5125-Fcm3A hs121</t>
  </si>
  <si>
    <t>5125-Fcm3A hs123</t>
  </si>
  <si>
    <t>5125-Fcm3A hs124</t>
  </si>
  <si>
    <t>5125-Fcm3A hs125</t>
  </si>
  <si>
    <t>5125-Fcm3A hs126</t>
  </si>
  <si>
    <t>5125-Fcm3A hs127</t>
  </si>
  <si>
    <t>5125-Fcm3A hs128</t>
  </si>
  <si>
    <t>5125-Fcm3A hs129</t>
  </si>
  <si>
    <t>5125-Fcm3A hs130</t>
  </si>
  <si>
    <t>5125-Fcm3A hs131</t>
  </si>
  <si>
    <t>5125-Fcm3A hs132</t>
  </si>
  <si>
    <t>5125-Fcm3A hs133</t>
  </si>
  <si>
    <t>5125-Fcm3A hs134</t>
  </si>
  <si>
    <t>5125-Fcm3A hs135</t>
  </si>
  <si>
    <t>5125-Fcm3A hs136</t>
  </si>
  <si>
    <t>5125-Fcm3A hs137</t>
  </si>
  <si>
    <t>5125-Fcm3A hs138</t>
  </si>
  <si>
    <t>5125-Fcm3A hs139</t>
  </si>
  <si>
    <t>5125-Fcm3A hs140</t>
  </si>
  <si>
    <t>5125-Fcm3A hs141</t>
  </si>
  <si>
    <t>5125-Fcm3A hs142</t>
  </si>
  <si>
    <t>5125-Fcm3A hs143</t>
  </si>
  <si>
    <t>5125-Fcm3A hs144</t>
  </si>
  <si>
    <t>5125-Fcm3A hs145</t>
  </si>
  <si>
    <t>5125-Fcm3A hs146</t>
  </si>
  <si>
    <t>5125-Fcm3A hs147</t>
  </si>
  <si>
    <t>5125-Fcm3A hs148</t>
  </si>
  <si>
    <t>5125-Fcm3A hs149</t>
  </si>
  <si>
    <t>5125-Fcm3A hs150</t>
  </si>
  <si>
    <t>5125-Fcm3A hs151</t>
  </si>
  <si>
    <t>5125-Fcm3A hs152</t>
  </si>
  <si>
    <t>蛋白名称</t>
    <phoneticPr fontId="2" type="noConversion"/>
  </si>
  <si>
    <t>20260611-5125 fcm3a hs121-152系列改造0.8ng/ml  浓度elisa检测结果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</si>
</sst>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Adobe 黑体 Std R"/>
      <family val="2"/>
      <charset val="134"/>
    </font>
    <font>
      <b/>
      <sz val="14"/>
      <color theme="1"/>
      <name val="Adobe 黑体 Std R"/>
      <family val="2"/>
      <charset val="134"/>
    </font>
    <font>
      <sz val="12"/>
      <color theme="1"/>
      <name val="Adobe 黑体 Std R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2" fontId="0" fillId="0" borderId="1" xfId="0" applyNumberForma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常规" xfId="0" builtinId="0"/>
    <cellStyle name="常规 2" xfId="1" xr:uid="{BD1D68DD-2CD7-43DB-A583-A5C35CE227F7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95D8-9D49-4B49-8199-262238C9F99A}">
  <dimension ref="A1:T35"/>
  <sheetViews>
    <sheetView tabSelected="1" topLeftCell="B1" workbookViewId="0">
      <selection activeCell="G16" sqref="G16"/>
    </sheetView>
  </sheetViews>
  <sheetFormatPr defaultRowHeight="14.4" x14ac:dyDescent="0.25"/>
  <cols>
    <col min="1" max="1" width="21.6640625" style="23" bestFit="1" customWidth="1"/>
    <col min="2" max="3" width="8.88671875" style="23"/>
    <col min="4" max="4" width="6.5546875" style="23" bestFit="1" customWidth="1"/>
    <col min="5" max="5" width="9.77734375" style="23" bestFit="1" customWidth="1"/>
    <col min="6" max="7" width="8.88671875" style="23"/>
    <col min="8" max="8" width="6.5546875" style="23" bestFit="1" customWidth="1"/>
    <col min="9" max="9" width="9.77734375" style="23" bestFit="1" customWidth="1"/>
    <col min="10" max="10" width="8.88671875" style="23"/>
    <col min="11" max="11" width="21.6640625" style="23" bestFit="1" customWidth="1"/>
    <col min="12" max="13" width="8.88671875" style="23"/>
    <col min="14" max="14" width="6.5546875" style="23" bestFit="1" customWidth="1"/>
    <col min="15" max="17" width="8.88671875" style="23"/>
    <col min="18" max="18" width="6.5546875" style="23" bestFit="1" customWidth="1"/>
    <col min="19" max="16384" width="8.88671875" style="23"/>
  </cols>
  <sheetData>
    <row r="1" spans="1:20" ht="19.2" thickBot="1" x14ac:dyDescent="0.3">
      <c r="A1" s="2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spans="1:20" ht="16.8" thickBot="1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  <c r="K2" s="6" t="s">
        <v>1</v>
      </c>
      <c r="L2" s="6"/>
      <c r="M2" s="6"/>
      <c r="N2" s="6"/>
      <c r="O2" s="6"/>
      <c r="P2" s="6"/>
      <c r="Q2" s="6"/>
      <c r="R2" s="6"/>
      <c r="S2" s="6"/>
      <c r="T2" s="8"/>
    </row>
    <row r="3" spans="1:20" ht="16.8" thickBot="1" x14ac:dyDescent="0.3">
      <c r="A3" s="9" t="s">
        <v>38</v>
      </c>
      <c r="B3" s="6" t="s">
        <v>2</v>
      </c>
      <c r="C3" s="6"/>
      <c r="D3" s="6"/>
      <c r="E3" s="12" t="s">
        <v>3</v>
      </c>
      <c r="F3" s="6" t="s">
        <v>4</v>
      </c>
      <c r="G3" s="6"/>
      <c r="H3" s="6"/>
      <c r="I3" s="12" t="s">
        <v>3</v>
      </c>
      <c r="J3" s="8" t="s">
        <v>5</v>
      </c>
      <c r="K3" s="9" t="s">
        <v>38</v>
      </c>
      <c r="L3" s="6" t="s">
        <v>2</v>
      </c>
      <c r="M3" s="6"/>
      <c r="N3" s="6"/>
      <c r="O3" s="12" t="s">
        <v>3</v>
      </c>
      <c r="P3" s="6" t="s">
        <v>4</v>
      </c>
      <c r="Q3" s="6"/>
      <c r="R3" s="6"/>
      <c r="S3" s="12" t="s">
        <v>3</v>
      </c>
      <c r="T3" s="8" t="s">
        <v>5</v>
      </c>
    </row>
    <row r="4" spans="1:20" ht="16.2" x14ac:dyDescent="0.35">
      <c r="A4" s="10" t="s">
        <v>6</v>
      </c>
      <c r="B4" s="24">
        <v>1E-3</v>
      </c>
      <c r="C4" s="25">
        <v>1E-3</v>
      </c>
      <c r="D4" s="25">
        <v>3.0000000000000001E-3</v>
      </c>
      <c r="E4" s="13">
        <f>AVERAGE(B4:D4)</f>
        <v>1.6666666666666668E-3</v>
      </c>
      <c r="F4" s="25">
        <v>8.0000000000000002E-3</v>
      </c>
      <c r="G4" s="25">
        <v>8.9999999999999993E-3</v>
      </c>
      <c r="H4" s="25">
        <v>8.0000000000000002E-3</v>
      </c>
      <c r="I4" s="18">
        <f>AVERAGE(F4:H4)</f>
        <v>8.3333333333333332E-3</v>
      </c>
      <c r="J4" s="15">
        <f>I4/E4</f>
        <v>5</v>
      </c>
      <c r="K4" s="21" t="s">
        <v>6</v>
      </c>
      <c r="L4" s="24">
        <v>1E-3</v>
      </c>
      <c r="M4" s="25">
        <v>8.9999999999999993E-3</v>
      </c>
      <c r="N4" s="25">
        <v>8.9999999999999993E-3</v>
      </c>
      <c r="O4" s="13">
        <f>AVERAGE(L4:N4)</f>
        <v>6.3333333333333323E-3</v>
      </c>
      <c r="P4" s="25">
        <v>8.0000000000000002E-3</v>
      </c>
      <c r="Q4" s="25">
        <v>1.2999999999999999E-2</v>
      </c>
      <c r="R4" s="25">
        <v>1.0999999999999999E-2</v>
      </c>
      <c r="S4" s="18">
        <f>AVERAGE(P4:R4)</f>
        <v>1.0666666666666666E-2</v>
      </c>
      <c r="T4" s="15">
        <f>S4/O4</f>
        <v>1.6842105263157896</v>
      </c>
    </row>
    <row r="5" spans="1:20" ht="16.2" x14ac:dyDescent="0.35">
      <c r="A5" s="10" t="s">
        <v>7</v>
      </c>
      <c r="B5" s="26">
        <v>1E-3</v>
      </c>
      <c r="C5" s="27">
        <v>1.4999999999999999E-2</v>
      </c>
      <c r="D5" s="27">
        <v>1E-3</v>
      </c>
      <c r="E5" s="1">
        <f t="shared" ref="E5:E35" si="0">AVERAGE(B5:D5)</f>
        <v>5.6666666666666671E-3</v>
      </c>
      <c r="F5" s="27">
        <v>1.7000000000000001E-2</v>
      </c>
      <c r="G5" s="27">
        <v>7.0000000000000001E-3</v>
      </c>
      <c r="H5" s="27">
        <v>2.1000000000000001E-2</v>
      </c>
      <c r="I5" s="19">
        <f t="shared" ref="I5:I35" si="1">AVERAGE(F5:H5)</f>
        <v>1.4999999999999999E-2</v>
      </c>
      <c r="J5" s="16">
        <f t="shared" ref="J5:J35" si="2">I5/E5</f>
        <v>2.6470588235294117</v>
      </c>
      <c r="K5" s="21" t="s">
        <v>7</v>
      </c>
      <c r="L5" s="26">
        <v>1.4E-2</v>
      </c>
      <c r="M5" s="27">
        <v>0.01</v>
      </c>
      <c r="N5" s="27">
        <v>1.2999999999999999E-2</v>
      </c>
      <c r="O5" s="1">
        <f t="shared" ref="O5:O35" si="3">AVERAGE(L5:N5)</f>
        <v>1.2333333333333333E-2</v>
      </c>
      <c r="P5" s="27">
        <v>1.2E-2</v>
      </c>
      <c r="Q5" s="27">
        <v>1.6E-2</v>
      </c>
      <c r="R5" s="27">
        <v>2.1999999999999999E-2</v>
      </c>
      <c r="S5" s="19">
        <f t="shared" ref="S5:S35" si="4">AVERAGE(P5:R5)</f>
        <v>1.6666666666666666E-2</v>
      </c>
      <c r="T5" s="16">
        <f t="shared" ref="T5:T35" si="5">S5/O5</f>
        <v>1.3513513513513513</v>
      </c>
    </row>
    <row r="6" spans="1:20" ht="16.2" x14ac:dyDescent="0.35">
      <c r="A6" s="10" t="s">
        <v>8</v>
      </c>
      <c r="B6" s="26">
        <v>1E-3</v>
      </c>
      <c r="C6" s="27">
        <v>1E-3</v>
      </c>
      <c r="D6" s="27">
        <v>2E-3</v>
      </c>
      <c r="E6" s="1">
        <f t="shared" si="0"/>
        <v>1.3333333333333333E-3</v>
      </c>
      <c r="F6" s="27">
        <v>1.0999999999999999E-2</v>
      </c>
      <c r="G6" s="27">
        <v>1.0999999999999999E-2</v>
      </c>
      <c r="H6" s="27">
        <v>0.02</v>
      </c>
      <c r="I6" s="19">
        <f t="shared" si="1"/>
        <v>1.3999999999999999E-2</v>
      </c>
      <c r="J6" s="16">
        <f t="shared" si="2"/>
        <v>10.5</v>
      </c>
      <c r="K6" s="21" t="s">
        <v>8</v>
      </c>
      <c r="L6" s="26">
        <v>1.0999999999999999E-2</v>
      </c>
      <c r="M6" s="27">
        <v>1.2E-2</v>
      </c>
      <c r="N6" s="27">
        <v>0.01</v>
      </c>
      <c r="O6" s="1">
        <f t="shared" si="3"/>
        <v>1.1000000000000001E-2</v>
      </c>
      <c r="P6" s="27">
        <v>1.9E-2</v>
      </c>
      <c r="Q6" s="27">
        <v>1.0999999999999999E-2</v>
      </c>
      <c r="R6" s="27">
        <v>0.03</v>
      </c>
      <c r="S6" s="19">
        <f t="shared" si="4"/>
        <v>0.02</v>
      </c>
      <c r="T6" s="16">
        <f t="shared" si="5"/>
        <v>1.8181818181818181</v>
      </c>
    </row>
    <row r="7" spans="1:20" ht="16.2" x14ac:dyDescent="0.35">
      <c r="A7" s="10" t="s">
        <v>9</v>
      </c>
      <c r="B7" s="26">
        <v>5.0000000000000001E-3</v>
      </c>
      <c r="C7" s="27">
        <v>1E-3</v>
      </c>
      <c r="D7" s="27">
        <v>1E-3</v>
      </c>
      <c r="E7" s="1">
        <f t="shared" si="0"/>
        <v>2.3333333333333335E-3</v>
      </c>
      <c r="F7" s="27">
        <v>7.0000000000000001E-3</v>
      </c>
      <c r="G7" s="27">
        <v>7.0000000000000001E-3</v>
      </c>
      <c r="H7" s="27">
        <v>1.2999999999999999E-2</v>
      </c>
      <c r="I7" s="19">
        <f t="shared" si="1"/>
        <v>8.9999999999999993E-3</v>
      </c>
      <c r="J7" s="16">
        <f t="shared" si="2"/>
        <v>3.8571428571428563</v>
      </c>
      <c r="K7" s="21" t="s">
        <v>9</v>
      </c>
      <c r="L7" s="26">
        <v>8.0000000000000002E-3</v>
      </c>
      <c r="M7" s="27">
        <v>1E-3</v>
      </c>
      <c r="N7" s="27">
        <v>2E-3</v>
      </c>
      <c r="O7" s="1">
        <f t="shared" si="3"/>
        <v>3.666666666666667E-3</v>
      </c>
      <c r="P7" s="27">
        <v>8.0000000000000002E-3</v>
      </c>
      <c r="Q7" s="27">
        <v>7.0000000000000001E-3</v>
      </c>
      <c r="R7" s="27">
        <v>1.2999999999999999E-2</v>
      </c>
      <c r="S7" s="19">
        <f t="shared" si="4"/>
        <v>9.3333333333333324E-3</v>
      </c>
      <c r="T7" s="16">
        <f t="shared" si="5"/>
        <v>2.545454545454545</v>
      </c>
    </row>
    <row r="8" spans="1:20" ht="16.2" x14ac:dyDescent="0.35">
      <c r="A8" s="10" t="s">
        <v>10</v>
      </c>
      <c r="B8" s="26">
        <v>1E-3</v>
      </c>
      <c r="C8" s="27">
        <v>4.0000000000000001E-3</v>
      </c>
      <c r="D8" s="27">
        <v>6.0000000000000001E-3</v>
      </c>
      <c r="E8" s="1">
        <f t="shared" si="0"/>
        <v>3.6666666666666666E-3</v>
      </c>
      <c r="F8" s="27">
        <v>1.2E-2</v>
      </c>
      <c r="G8" s="27">
        <v>1.0999999999999999E-2</v>
      </c>
      <c r="H8" s="27">
        <v>1.2999999999999999E-2</v>
      </c>
      <c r="I8" s="19">
        <f t="shared" si="1"/>
        <v>1.1999999999999999E-2</v>
      </c>
      <c r="J8" s="16">
        <f t="shared" si="2"/>
        <v>3.2727272727272725</v>
      </c>
      <c r="K8" s="21" t="s">
        <v>10</v>
      </c>
      <c r="L8" s="26">
        <v>4.0000000000000001E-3</v>
      </c>
      <c r="M8" s="27">
        <v>5.0000000000000001E-3</v>
      </c>
      <c r="N8" s="27">
        <v>7.0000000000000001E-3</v>
      </c>
      <c r="O8" s="1">
        <f t="shared" si="3"/>
        <v>5.3333333333333332E-3</v>
      </c>
      <c r="P8" s="27">
        <v>7.0000000000000001E-3</v>
      </c>
      <c r="Q8" s="27">
        <v>0.01</v>
      </c>
      <c r="R8" s="27">
        <v>1.2999999999999999E-2</v>
      </c>
      <c r="S8" s="19">
        <f t="shared" si="4"/>
        <v>0.01</v>
      </c>
      <c r="T8" s="16">
        <f t="shared" si="5"/>
        <v>1.875</v>
      </c>
    </row>
    <row r="9" spans="1:20" ht="16.2" x14ac:dyDescent="0.35">
      <c r="A9" s="10" t="s">
        <v>11</v>
      </c>
      <c r="B9" s="26">
        <v>2E-3</v>
      </c>
      <c r="C9" s="27">
        <v>7.0000000000000001E-3</v>
      </c>
      <c r="D9" s="27">
        <v>1.2E-2</v>
      </c>
      <c r="E9" s="1">
        <f t="shared" si="0"/>
        <v>7.0000000000000001E-3</v>
      </c>
      <c r="F9" s="27">
        <v>1.0999999999999999E-2</v>
      </c>
      <c r="G9" s="27">
        <v>1.4999999999999999E-2</v>
      </c>
      <c r="H9" s="27">
        <v>1.4999999999999999E-2</v>
      </c>
      <c r="I9" s="19">
        <f t="shared" si="1"/>
        <v>1.3666666666666666E-2</v>
      </c>
      <c r="J9" s="16">
        <f t="shared" si="2"/>
        <v>1.9523809523809521</v>
      </c>
      <c r="K9" s="21" t="s">
        <v>11</v>
      </c>
      <c r="L9" s="26">
        <v>1E-3</v>
      </c>
      <c r="M9" s="27">
        <v>3.0000000000000001E-3</v>
      </c>
      <c r="N9" s="27">
        <v>6.0000000000000001E-3</v>
      </c>
      <c r="O9" s="1">
        <f t="shared" si="3"/>
        <v>3.3333333333333335E-3</v>
      </c>
      <c r="P9" s="27">
        <v>8.9999999999999993E-3</v>
      </c>
      <c r="Q9" s="27">
        <v>1.2E-2</v>
      </c>
      <c r="R9" s="27">
        <v>1.0999999999999999E-2</v>
      </c>
      <c r="S9" s="19">
        <f t="shared" si="4"/>
        <v>1.0666666666666666E-2</v>
      </c>
      <c r="T9" s="16">
        <f t="shared" si="5"/>
        <v>3.1999999999999997</v>
      </c>
    </row>
    <row r="10" spans="1:20" ht="16.2" x14ac:dyDescent="0.35">
      <c r="A10" s="10" t="s">
        <v>12</v>
      </c>
      <c r="B10" s="26">
        <v>1E-3</v>
      </c>
      <c r="C10" s="27">
        <v>1E-3</v>
      </c>
      <c r="D10" s="27">
        <v>1E-3</v>
      </c>
      <c r="E10" s="1">
        <f t="shared" si="0"/>
        <v>1E-3</v>
      </c>
      <c r="F10" s="27">
        <v>6.0000000000000001E-3</v>
      </c>
      <c r="G10" s="27">
        <v>8.9999999999999993E-3</v>
      </c>
      <c r="H10" s="27">
        <v>8.9999999999999993E-3</v>
      </c>
      <c r="I10" s="19">
        <f t="shared" si="1"/>
        <v>8.0000000000000002E-3</v>
      </c>
      <c r="J10" s="16">
        <f t="shared" si="2"/>
        <v>8</v>
      </c>
      <c r="K10" s="21" t="s">
        <v>12</v>
      </c>
      <c r="L10" s="26">
        <v>1E-3</v>
      </c>
      <c r="M10" s="27">
        <v>1E-3</v>
      </c>
      <c r="N10" s="27">
        <v>3.0000000000000001E-3</v>
      </c>
      <c r="O10" s="1">
        <f t="shared" si="3"/>
        <v>1.6666666666666668E-3</v>
      </c>
      <c r="P10" s="27">
        <v>6.0000000000000001E-3</v>
      </c>
      <c r="Q10" s="27">
        <v>8.9999999999999993E-3</v>
      </c>
      <c r="R10" s="27">
        <v>8.0000000000000002E-3</v>
      </c>
      <c r="S10" s="19">
        <f t="shared" si="4"/>
        <v>7.6666666666666662E-3</v>
      </c>
      <c r="T10" s="16">
        <f t="shared" si="5"/>
        <v>4.5999999999999996</v>
      </c>
    </row>
    <row r="11" spans="1:20" ht="16.2" x14ac:dyDescent="0.35">
      <c r="A11" s="10" t="s">
        <v>13</v>
      </c>
      <c r="B11" s="26">
        <v>4.0000000000000001E-3</v>
      </c>
      <c r="C11" s="27">
        <v>3.0000000000000001E-3</v>
      </c>
      <c r="D11" s="27">
        <v>1E-3</v>
      </c>
      <c r="E11" s="1">
        <f t="shared" si="0"/>
        <v>2.6666666666666666E-3</v>
      </c>
      <c r="F11" s="27">
        <v>1E-3</v>
      </c>
      <c r="G11" s="27">
        <v>3.0000000000000001E-3</v>
      </c>
      <c r="H11" s="27">
        <v>0.01</v>
      </c>
      <c r="I11" s="19">
        <f t="shared" si="1"/>
        <v>4.6666666666666671E-3</v>
      </c>
      <c r="J11" s="16">
        <f t="shared" si="2"/>
        <v>1.7500000000000002</v>
      </c>
      <c r="K11" s="21" t="s">
        <v>13</v>
      </c>
      <c r="L11" s="26">
        <v>1E-3</v>
      </c>
      <c r="M11" s="27">
        <v>1E-3</v>
      </c>
      <c r="N11" s="27">
        <v>1E-3</v>
      </c>
      <c r="O11" s="1">
        <f t="shared" si="3"/>
        <v>1E-3</v>
      </c>
      <c r="P11" s="27">
        <v>1E-3</v>
      </c>
      <c r="Q11" s="27">
        <v>1E-3</v>
      </c>
      <c r="R11" s="27">
        <v>1E-3</v>
      </c>
      <c r="S11" s="19">
        <f t="shared" si="4"/>
        <v>1E-3</v>
      </c>
      <c r="T11" s="16">
        <f t="shared" si="5"/>
        <v>1</v>
      </c>
    </row>
    <row r="12" spans="1:20" ht="16.2" x14ac:dyDescent="0.35">
      <c r="A12" s="10" t="s">
        <v>14</v>
      </c>
      <c r="B12" s="26">
        <v>5.0000000000000001E-3</v>
      </c>
      <c r="C12" s="27">
        <v>1E-3</v>
      </c>
      <c r="D12" s="27">
        <v>4.0000000000000001E-3</v>
      </c>
      <c r="E12" s="1">
        <f t="shared" si="0"/>
        <v>3.3333333333333335E-3</v>
      </c>
      <c r="F12" s="27">
        <v>8.9999999999999993E-3</v>
      </c>
      <c r="G12" s="27">
        <v>1.4E-2</v>
      </c>
      <c r="H12" s="27">
        <v>1.9E-2</v>
      </c>
      <c r="I12" s="19">
        <f t="shared" si="1"/>
        <v>1.3999999999999999E-2</v>
      </c>
      <c r="J12" s="16">
        <f t="shared" si="2"/>
        <v>4.1999999999999993</v>
      </c>
      <c r="K12" s="21" t="s">
        <v>14</v>
      </c>
      <c r="L12" s="26">
        <v>6.0000000000000001E-3</v>
      </c>
      <c r="M12" s="27">
        <v>7.0000000000000001E-3</v>
      </c>
      <c r="N12" s="27">
        <v>1.4E-2</v>
      </c>
      <c r="O12" s="1">
        <f t="shared" si="3"/>
        <v>9.0000000000000011E-3</v>
      </c>
      <c r="P12" s="27">
        <v>1.0999999999999999E-2</v>
      </c>
      <c r="Q12" s="27">
        <v>1.4999999999999999E-2</v>
      </c>
      <c r="R12" s="27">
        <v>1.2E-2</v>
      </c>
      <c r="S12" s="19">
        <f t="shared" si="4"/>
        <v>1.2666666666666666E-2</v>
      </c>
      <c r="T12" s="16">
        <f t="shared" si="5"/>
        <v>1.4074074074074072</v>
      </c>
    </row>
    <row r="13" spans="1:20" ht="16.2" x14ac:dyDescent="0.35">
      <c r="A13" s="10" t="s">
        <v>15</v>
      </c>
      <c r="B13" s="26">
        <v>7.0000000000000001E-3</v>
      </c>
      <c r="C13" s="27">
        <v>1.4999999999999999E-2</v>
      </c>
      <c r="D13" s="27">
        <v>1.0999999999999999E-2</v>
      </c>
      <c r="E13" s="1">
        <f t="shared" si="0"/>
        <v>1.1000000000000001E-2</v>
      </c>
      <c r="F13" s="27">
        <v>2.1999999999999999E-2</v>
      </c>
      <c r="G13" s="27">
        <v>2.1000000000000001E-2</v>
      </c>
      <c r="H13" s="27">
        <v>3.2000000000000001E-2</v>
      </c>
      <c r="I13" s="19">
        <f t="shared" si="1"/>
        <v>2.4999999999999998E-2</v>
      </c>
      <c r="J13" s="16">
        <f t="shared" si="2"/>
        <v>2.2727272727272725</v>
      </c>
      <c r="K13" s="21" t="s">
        <v>15</v>
      </c>
      <c r="L13" s="26">
        <v>6.0000000000000001E-3</v>
      </c>
      <c r="M13" s="27">
        <v>1.2E-2</v>
      </c>
      <c r="N13" s="27">
        <v>1E-3</v>
      </c>
      <c r="O13" s="1">
        <f t="shared" si="3"/>
        <v>6.333333333333334E-3</v>
      </c>
      <c r="P13" s="27">
        <v>7.0000000000000001E-3</v>
      </c>
      <c r="Q13" s="27">
        <v>1.0999999999999999E-2</v>
      </c>
      <c r="R13" s="27">
        <v>6.0000000000000001E-3</v>
      </c>
      <c r="S13" s="19">
        <f t="shared" si="4"/>
        <v>8.0000000000000002E-3</v>
      </c>
      <c r="T13" s="16">
        <f t="shared" si="5"/>
        <v>1.263157894736842</v>
      </c>
    </row>
    <row r="14" spans="1:20" ht="16.2" x14ac:dyDescent="0.35">
      <c r="A14" s="10" t="s">
        <v>16</v>
      </c>
      <c r="B14" s="26">
        <v>7.0000000000000001E-3</v>
      </c>
      <c r="C14" s="27">
        <v>6.0000000000000001E-3</v>
      </c>
      <c r="D14" s="27">
        <v>1.6E-2</v>
      </c>
      <c r="E14" s="1">
        <f t="shared" si="0"/>
        <v>9.6666666666666672E-3</v>
      </c>
      <c r="F14" s="27">
        <v>1.6E-2</v>
      </c>
      <c r="G14" s="27">
        <v>1.7999999999999999E-2</v>
      </c>
      <c r="H14" s="27">
        <v>2.5000000000000001E-2</v>
      </c>
      <c r="I14" s="19">
        <f t="shared" si="1"/>
        <v>1.9666666666666669E-2</v>
      </c>
      <c r="J14" s="16">
        <f t="shared" si="2"/>
        <v>2.0344827586206899</v>
      </c>
      <c r="K14" s="21" t="s">
        <v>16</v>
      </c>
      <c r="L14" s="26">
        <v>8.9999999999999993E-3</v>
      </c>
      <c r="M14" s="27">
        <v>4.0000000000000001E-3</v>
      </c>
      <c r="N14" s="27">
        <v>1.0999999999999999E-2</v>
      </c>
      <c r="O14" s="1">
        <f t="shared" si="3"/>
        <v>8.0000000000000002E-3</v>
      </c>
      <c r="P14" s="27">
        <v>1.4E-2</v>
      </c>
      <c r="Q14" s="27">
        <v>1.4999999999999999E-2</v>
      </c>
      <c r="R14" s="27">
        <v>1.4999999999999999E-2</v>
      </c>
      <c r="S14" s="19">
        <f t="shared" si="4"/>
        <v>1.4666666666666666E-2</v>
      </c>
      <c r="T14" s="16">
        <f t="shared" si="5"/>
        <v>1.8333333333333333</v>
      </c>
    </row>
    <row r="15" spans="1:20" ht="16.2" x14ac:dyDescent="0.35">
      <c r="A15" s="10" t="s">
        <v>17</v>
      </c>
      <c r="B15" s="26">
        <v>5.0000000000000001E-3</v>
      </c>
      <c r="C15" s="27">
        <v>5.0000000000000001E-3</v>
      </c>
      <c r="D15" s="27">
        <v>1.0999999999999999E-2</v>
      </c>
      <c r="E15" s="1">
        <f t="shared" si="0"/>
        <v>6.9999999999999993E-3</v>
      </c>
      <c r="F15" s="27">
        <v>1.0999999999999999E-2</v>
      </c>
      <c r="G15" s="27">
        <v>1.6E-2</v>
      </c>
      <c r="H15" s="27">
        <v>2.1000000000000001E-2</v>
      </c>
      <c r="I15" s="19">
        <f t="shared" si="1"/>
        <v>1.6E-2</v>
      </c>
      <c r="J15" s="16">
        <f t="shared" si="2"/>
        <v>2.285714285714286</v>
      </c>
      <c r="K15" s="21" t="s">
        <v>17</v>
      </c>
      <c r="L15" s="26">
        <v>8.0000000000000002E-3</v>
      </c>
      <c r="M15" s="27">
        <v>5.0000000000000001E-3</v>
      </c>
      <c r="N15" s="27">
        <v>7.0000000000000001E-3</v>
      </c>
      <c r="O15" s="1">
        <f t="shared" si="3"/>
        <v>6.6666666666666671E-3</v>
      </c>
      <c r="P15" s="27">
        <v>8.9999999999999993E-3</v>
      </c>
      <c r="Q15" s="27">
        <v>1.0999999999999999E-2</v>
      </c>
      <c r="R15" s="27">
        <v>1.2999999999999999E-2</v>
      </c>
      <c r="S15" s="19">
        <f t="shared" si="4"/>
        <v>1.0999999999999998E-2</v>
      </c>
      <c r="T15" s="16">
        <f t="shared" si="5"/>
        <v>1.6499999999999995</v>
      </c>
    </row>
    <row r="16" spans="1:20" ht="16.2" x14ac:dyDescent="0.35">
      <c r="A16" s="10" t="s">
        <v>18</v>
      </c>
      <c r="B16" s="26">
        <v>6.0000000000000001E-3</v>
      </c>
      <c r="C16" s="27">
        <v>0.01</v>
      </c>
      <c r="D16" s="27">
        <v>0.01</v>
      </c>
      <c r="E16" s="1">
        <f t="shared" si="0"/>
        <v>8.666666666666668E-3</v>
      </c>
      <c r="F16" s="27">
        <v>5.5E-2</v>
      </c>
      <c r="G16" s="27">
        <v>5.8999999999999997E-2</v>
      </c>
      <c r="H16" s="27">
        <v>7.2999999999999995E-2</v>
      </c>
      <c r="I16" s="19">
        <f t="shared" si="1"/>
        <v>6.2333333333333331E-2</v>
      </c>
      <c r="J16" s="16">
        <f t="shared" si="2"/>
        <v>7.1923076923076907</v>
      </c>
      <c r="K16" s="21" t="s">
        <v>18</v>
      </c>
      <c r="L16" s="26">
        <v>7.0000000000000001E-3</v>
      </c>
      <c r="M16" s="27">
        <v>7.0000000000000001E-3</v>
      </c>
      <c r="N16" s="27">
        <v>8.9999999999999993E-3</v>
      </c>
      <c r="O16" s="1">
        <f t="shared" si="3"/>
        <v>7.6666666666666662E-3</v>
      </c>
      <c r="P16" s="27">
        <v>1.0999999999999999E-2</v>
      </c>
      <c r="Q16" s="27">
        <v>1.2999999999999999E-2</v>
      </c>
      <c r="R16" s="27">
        <v>1.0999999999999999E-2</v>
      </c>
      <c r="S16" s="19">
        <f t="shared" si="4"/>
        <v>1.1666666666666667E-2</v>
      </c>
      <c r="T16" s="16">
        <f t="shared" si="5"/>
        <v>1.5217391304347827</v>
      </c>
    </row>
    <row r="17" spans="1:20" ht="16.2" x14ac:dyDescent="0.35">
      <c r="A17" s="10" t="s">
        <v>19</v>
      </c>
      <c r="B17" s="26">
        <v>6.0000000000000001E-3</v>
      </c>
      <c r="C17" s="27">
        <v>7.0000000000000001E-3</v>
      </c>
      <c r="D17" s="27">
        <v>0.01</v>
      </c>
      <c r="E17" s="1">
        <f t="shared" si="0"/>
        <v>7.6666666666666662E-3</v>
      </c>
      <c r="F17" s="27">
        <v>4.3999999999999997E-2</v>
      </c>
      <c r="G17" s="27">
        <v>5.5E-2</v>
      </c>
      <c r="H17" s="27">
        <v>5.2999999999999999E-2</v>
      </c>
      <c r="I17" s="19">
        <f t="shared" si="1"/>
        <v>5.0666666666666665E-2</v>
      </c>
      <c r="J17" s="16">
        <f t="shared" si="2"/>
        <v>6.6086956521739131</v>
      </c>
      <c r="K17" s="21" t="s">
        <v>19</v>
      </c>
      <c r="L17" s="26">
        <v>5.0000000000000001E-3</v>
      </c>
      <c r="M17" s="27">
        <v>7.0000000000000001E-3</v>
      </c>
      <c r="N17" s="27">
        <v>8.9999999999999993E-3</v>
      </c>
      <c r="O17" s="1">
        <f t="shared" si="3"/>
        <v>6.9999999999999993E-3</v>
      </c>
      <c r="P17" s="27">
        <v>1.0999999999999999E-2</v>
      </c>
      <c r="Q17" s="27">
        <v>1.2E-2</v>
      </c>
      <c r="R17" s="27">
        <v>1.4999999999999999E-2</v>
      </c>
      <c r="S17" s="19">
        <f t="shared" si="4"/>
        <v>1.2666666666666666E-2</v>
      </c>
      <c r="T17" s="16">
        <f t="shared" si="5"/>
        <v>1.8095238095238098</v>
      </c>
    </row>
    <row r="18" spans="1:20" ht="16.2" x14ac:dyDescent="0.35">
      <c r="A18" s="10" t="s">
        <v>20</v>
      </c>
      <c r="B18" s="26">
        <v>1.28</v>
      </c>
      <c r="C18" s="27">
        <v>1.4510000000000001</v>
      </c>
      <c r="D18" s="27">
        <v>1.2969999999999999</v>
      </c>
      <c r="E18" s="1">
        <f t="shared" si="0"/>
        <v>1.3426666666666665</v>
      </c>
      <c r="F18" s="27">
        <v>1.677</v>
      </c>
      <c r="G18" s="27">
        <v>1.712</v>
      </c>
      <c r="H18" s="27">
        <v>1.903</v>
      </c>
      <c r="I18" s="19">
        <f t="shared" si="1"/>
        <v>1.764</v>
      </c>
      <c r="J18" s="16">
        <f t="shared" si="2"/>
        <v>1.3138033763654422</v>
      </c>
      <c r="K18" s="21" t="s">
        <v>20</v>
      </c>
      <c r="L18" s="26">
        <v>1.732</v>
      </c>
      <c r="M18" s="27">
        <v>1.651</v>
      </c>
      <c r="N18" s="27">
        <v>1.7070000000000001</v>
      </c>
      <c r="O18" s="1">
        <f t="shared" si="3"/>
        <v>1.6966666666666665</v>
      </c>
      <c r="P18" s="27">
        <v>1.343</v>
      </c>
      <c r="Q18" s="27">
        <v>1.282</v>
      </c>
      <c r="R18" s="27">
        <v>1.627</v>
      </c>
      <c r="S18" s="19">
        <f t="shared" si="4"/>
        <v>1.4173333333333333</v>
      </c>
      <c r="T18" s="16">
        <f t="shared" si="5"/>
        <v>0.8353634577603144</v>
      </c>
    </row>
    <row r="19" spans="1:20" ht="16.2" x14ac:dyDescent="0.35">
      <c r="A19" s="10" t="s">
        <v>21</v>
      </c>
      <c r="B19" s="26">
        <v>5.0000000000000001E-3</v>
      </c>
      <c r="C19" s="27">
        <v>2E-3</v>
      </c>
      <c r="D19" s="27">
        <v>4.0000000000000001E-3</v>
      </c>
      <c r="E19" s="1">
        <f t="shared" si="0"/>
        <v>3.6666666666666666E-3</v>
      </c>
      <c r="F19" s="27">
        <v>1E-3</v>
      </c>
      <c r="G19" s="27">
        <v>1E-3</v>
      </c>
      <c r="H19" s="27">
        <v>8.9999999999999993E-3</v>
      </c>
      <c r="I19" s="19">
        <f t="shared" si="1"/>
        <v>3.6666666666666666E-3</v>
      </c>
      <c r="J19" s="16">
        <f t="shared" si="2"/>
        <v>1</v>
      </c>
      <c r="K19" s="21" t="s">
        <v>21</v>
      </c>
      <c r="L19" s="26">
        <v>1E-3</v>
      </c>
      <c r="M19" s="27">
        <v>1E-3</v>
      </c>
      <c r="N19" s="27">
        <v>3.0000000000000001E-3</v>
      </c>
      <c r="O19" s="1">
        <f t="shared" si="3"/>
        <v>1.6666666666666668E-3</v>
      </c>
      <c r="P19" s="27">
        <v>1E-3</v>
      </c>
      <c r="Q19" s="27">
        <v>2E-3</v>
      </c>
      <c r="R19" s="27">
        <v>8.9999999999999993E-3</v>
      </c>
      <c r="S19" s="19">
        <f t="shared" si="4"/>
        <v>4.0000000000000001E-3</v>
      </c>
      <c r="T19" s="16">
        <f t="shared" si="5"/>
        <v>2.4</v>
      </c>
    </row>
    <row r="20" spans="1:20" ht="16.2" x14ac:dyDescent="0.35">
      <c r="A20" s="10" t="s">
        <v>22</v>
      </c>
      <c r="B20" s="26">
        <v>1E-3</v>
      </c>
      <c r="C20" s="27">
        <v>3.0000000000000001E-3</v>
      </c>
      <c r="D20" s="27">
        <v>6.0000000000000001E-3</v>
      </c>
      <c r="E20" s="1">
        <f t="shared" si="0"/>
        <v>3.3333333333333335E-3</v>
      </c>
      <c r="F20" s="27">
        <v>6.0000000000000001E-3</v>
      </c>
      <c r="G20" s="27">
        <v>7.0000000000000001E-3</v>
      </c>
      <c r="H20" s="27">
        <v>7.0000000000000001E-3</v>
      </c>
      <c r="I20" s="19">
        <f t="shared" si="1"/>
        <v>6.6666666666666671E-3</v>
      </c>
      <c r="J20" s="16">
        <f t="shared" si="2"/>
        <v>2</v>
      </c>
      <c r="K20" s="21" t="s">
        <v>22</v>
      </c>
      <c r="L20" s="26">
        <v>0.01</v>
      </c>
      <c r="M20" s="27">
        <v>6.0000000000000001E-3</v>
      </c>
      <c r="N20" s="27">
        <v>6.0000000000000001E-3</v>
      </c>
      <c r="O20" s="1">
        <f t="shared" si="3"/>
        <v>7.3333333333333332E-3</v>
      </c>
      <c r="P20" s="27">
        <v>1.2E-2</v>
      </c>
      <c r="Q20" s="27">
        <v>1.7000000000000001E-2</v>
      </c>
      <c r="R20" s="27">
        <v>8.9999999999999993E-3</v>
      </c>
      <c r="S20" s="19">
        <f t="shared" si="4"/>
        <v>1.2666666666666666E-2</v>
      </c>
      <c r="T20" s="16">
        <f t="shared" si="5"/>
        <v>1.7272727272727273</v>
      </c>
    </row>
    <row r="21" spans="1:20" ht="16.2" x14ac:dyDescent="0.35">
      <c r="A21" s="10" t="s">
        <v>23</v>
      </c>
      <c r="B21" s="26">
        <v>8.0000000000000002E-3</v>
      </c>
      <c r="C21" s="27">
        <v>8.0000000000000002E-3</v>
      </c>
      <c r="D21" s="27">
        <v>8.9999999999999993E-3</v>
      </c>
      <c r="E21" s="1">
        <f t="shared" si="0"/>
        <v>8.3333333333333332E-3</v>
      </c>
      <c r="F21" s="27">
        <v>1.6E-2</v>
      </c>
      <c r="G21" s="27">
        <v>1.4E-2</v>
      </c>
      <c r="H21" s="27">
        <v>1.7000000000000001E-2</v>
      </c>
      <c r="I21" s="19">
        <f t="shared" si="1"/>
        <v>1.5666666666666666E-2</v>
      </c>
      <c r="J21" s="16">
        <f t="shared" si="2"/>
        <v>1.88</v>
      </c>
      <c r="K21" s="21" t="s">
        <v>23</v>
      </c>
      <c r="L21" s="26">
        <v>1E-3</v>
      </c>
      <c r="M21" s="27">
        <v>1.6E-2</v>
      </c>
      <c r="N21" s="27">
        <v>1E-3</v>
      </c>
      <c r="O21" s="1">
        <f t="shared" si="3"/>
        <v>6.000000000000001E-3</v>
      </c>
      <c r="P21" s="27">
        <v>8.9999999999999993E-3</v>
      </c>
      <c r="Q21" s="27">
        <v>1E-3</v>
      </c>
      <c r="R21" s="27">
        <v>2.4E-2</v>
      </c>
      <c r="S21" s="19">
        <f t="shared" si="4"/>
        <v>1.1333333333333334E-2</v>
      </c>
      <c r="T21" s="16">
        <f t="shared" si="5"/>
        <v>1.8888888888888886</v>
      </c>
    </row>
    <row r="22" spans="1:20" ht="16.2" x14ac:dyDescent="0.35">
      <c r="A22" s="10" t="s">
        <v>24</v>
      </c>
      <c r="B22" s="26">
        <v>5.0000000000000001E-3</v>
      </c>
      <c r="C22" s="27">
        <v>7.0000000000000001E-3</v>
      </c>
      <c r="D22" s="27">
        <v>7.0000000000000001E-3</v>
      </c>
      <c r="E22" s="1">
        <f t="shared" si="0"/>
        <v>6.3333333333333332E-3</v>
      </c>
      <c r="F22" s="27">
        <v>0.01</v>
      </c>
      <c r="G22" s="27">
        <v>1.4E-2</v>
      </c>
      <c r="H22" s="27">
        <v>1.9E-2</v>
      </c>
      <c r="I22" s="19">
        <f t="shared" si="1"/>
        <v>1.4333333333333332E-2</v>
      </c>
      <c r="J22" s="16">
        <f t="shared" si="2"/>
        <v>2.263157894736842</v>
      </c>
      <c r="K22" s="21" t="s">
        <v>24</v>
      </c>
      <c r="L22" s="26">
        <v>8.0000000000000002E-3</v>
      </c>
      <c r="M22" s="27">
        <v>6.0000000000000001E-3</v>
      </c>
      <c r="N22" s="27">
        <v>0.01</v>
      </c>
      <c r="O22" s="1">
        <f t="shared" si="3"/>
        <v>8.0000000000000002E-3</v>
      </c>
      <c r="P22" s="27">
        <v>1.7000000000000001E-2</v>
      </c>
      <c r="Q22" s="27">
        <v>0.01</v>
      </c>
      <c r="R22" s="27">
        <v>2.5999999999999999E-2</v>
      </c>
      <c r="S22" s="19">
        <f t="shared" si="4"/>
        <v>1.7666666666666667E-2</v>
      </c>
      <c r="T22" s="16">
        <f t="shared" si="5"/>
        <v>2.2083333333333335</v>
      </c>
    </row>
    <row r="23" spans="1:20" ht="16.2" x14ac:dyDescent="0.35">
      <c r="A23" s="10" t="s">
        <v>25</v>
      </c>
      <c r="B23" s="26">
        <v>0.32600000000000001</v>
      </c>
      <c r="C23" s="27">
        <v>0.28799999999999998</v>
      </c>
      <c r="D23" s="27">
        <v>0.29099999999999998</v>
      </c>
      <c r="E23" s="1">
        <f t="shared" si="0"/>
        <v>0.30166666666666669</v>
      </c>
      <c r="F23" s="27">
        <v>0.34799999999999998</v>
      </c>
      <c r="G23" s="27">
        <v>0.40799999999999997</v>
      </c>
      <c r="H23" s="27">
        <v>0.41699999999999998</v>
      </c>
      <c r="I23" s="19">
        <f t="shared" si="1"/>
        <v>0.39100000000000001</v>
      </c>
      <c r="J23" s="16">
        <f t="shared" si="2"/>
        <v>1.2961325966850827</v>
      </c>
      <c r="K23" s="21" t="s">
        <v>25</v>
      </c>
      <c r="L23" s="26">
        <v>0.36199999999999999</v>
      </c>
      <c r="M23" s="27">
        <v>0.36799999999999999</v>
      </c>
      <c r="N23" s="27">
        <v>0.372</v>
      </c>
      <c r="O23" s="1">
        <f t="shared" si="3"/>
        <v>0.36733333333333329</v>
      </c>
      <c r="P23" s="27">
        <v>0.24099999999999999</v>
      </c>
      <c r="Q23" s="27">
        <v>0.28999999999999998</v>
      </c>
      <c r="R23" s="27">
        <v>0.32400000000000001</v>
      </c>
      <c r="S23" s="19">
        <f t="shared" si="4"/>
        <v>0.28499999999999998</v>
      </c>
      <c r="T23" s="16">
        <f t="shared" si="5"/>
        <v>0.77586206896551724</v>
      </c>
    </row>
    <row r="24" spans="1:20" ht="16.2" x14ac:dyDescent="0.35">
      <c r="A24" s="10" t="s">
        <v>26</v>
      </c>
      <c r="B24" s="26">
        <v>0.28000000000000003</v>
      </c>
      <c r="C24" s="27">
        <v>0.25600000000000001</v>
      </c>
      <c r="D24" s="27">
        <v>0.252</v>
      </c>
      <c r="E24" s="1">
        <f t="shared" si="0"/>
        <v>0.26266666666666666</v>
      </c>
      <c r="F24" s="27">
        <v>0.17199999999999999</v>
      </c>
      <c r="G24" s="27">
        <v>0.188</v>
      </c>
      <c r="H24" s="27">
        <v>0.182</v>
      </c>
      <c r="I24" s="19">
        <f t="shared" si="1"/>
        <v>0.18066666666666667</v>
      </c>
      <c r="J24" s="16">
        <f t="shared" si="2"/>
        <v>0.68781725888324874</v>
      </c>
      <c r="K24" s="21" t="s">
        <v>26</v>
      </c>
      <c r="L24" s="26">
        <v>0.4</v>
      </c>
      <c r="M24" s="27">
        <v>0.371</v>
      </c>
      <c r="N24" s="27">
        <v>0.33100000000000002</v>
      </c>
      <c r="O24" s="1">
        <f t="shared" si="3"/>
        <v>0.36733333333333335</v>
      </c>
      <c r="P24" s="27">
        <v>0.17100000000000001</v>
      </c>
      <c r="Q24" s="27">
        <v>0.191</v>
      </c>
      <c r="R24" s="27">
        <v>0.218</v>
      </c>
      <c r="S24" s="19">
        <f t="shared" si="4"/>
        <v>0.19333333333333333</v>
      </c>
      <c r="T24" s="16">
        <f t="shared" si="5"/>
        <v>0.52631578947368418</v>
      </c>
    </row>
    <row r="25" spans="1:20" ht="16.2" x14ac:dyDescent="0.35">
      <c r="A25" s="10" t="s">
        <v>27</v>
      </c>
      <c r="B25" s="26">
        <v>0.54700000000000004</v>
      </c>
      <c r="C25" s="27">
        <v>0.42899999999999999</v>
      </c>
      <c r="D25" s="27">
        <v>0.43</v>
      </c>
      <c r="E25" s="1">
        <f t="shared" si="0"/>
        <v>0.46866666666666662</v>
      </c>
      <c r="F25" s="27">
        <v>0.59899999999999998</v>
      </c>
      <c r="G25" s="27">
        <v>0.75800000000000001</v>
      </c>
      <c r="H25" s="27">
        <v>0.67300000000000004</v>
      </c>
      <c r="I25" s="19">
        <f t="shared" si="1"/>
        <v>0.67666666666666675</v>
      </c>
      <c r="J25" s="16">
        <f t="shared" si="2"/>
        <v>1.4438122332859178</v>
      </c>
      <c r="K25" s="21" t="s">
        <v>27</v>
      </c>
      <c r="L25" s="26">
        <v>0.88900000000000001</v>
      </c>
      <c r="M25" s="27">
        <v>0.90700000000000003</v>
      </c>
      <c r="N25" s="27">
        <v>0.75700000000000001</v>
      </c>
      <c r="O25" s="1">
        <f t="shared" si="3"/>
        <v>0.85099999999999998</v>
      </c>
      <c r="P25" s="27">
        <v>0.93600000000000005</v>
      </c>
      <c r="Q25" s="27">
        <v>0.97199999999999998</v>
      </c>
      <c r="R25" s="27">
        <v>0.97899999999999998</v>
      </c>
      <c r="S25" s="19">
        <f t="shared" si="4"/>
        <v>0.96233333333333337</v>
      </c>
      <c r="T25" s="16">
        <f t="shared" si="5"/>
        <v>1.1308264786525657</v>
      </c>
    </row>
    <row r="26" spans="1:20" ht="16.2" x14ac:dyDescent="0.35">
      <c r="A26" s="10" t="s">
        <v>28</v>
      </c>
      <c r="B26" s="26">
        <v>1E-3</v>
      </c>
      <c r="C26" s="27">
        <v>1E-3</v>
      </c>
      <c r="D26" s="27">
        <v>1E-3</v>
      </c>
      <c r="E26" s="1">
        <f t="shared" si="0"/>
        <v>1E-3</v>
      </c>
      <c r="F26" s="27">
        <v>4.0000000000000001E-3</v>
      </c>
      <c r="G26" s="27">
        <v>8.0000000000000002E-3</v>
      </c>
      <c r="H26" s="27">
        <v>8.0000000000000002E-3</v>
      </c>
      <c r="I26" s="19">
        <f t="shared" si="1"/>
        <v>6.6666666666666671E-3</v>
      </c>
      <c r="J26" s="16">
        <f t="shared" si="2"/>
        <v>6.666666666666667</v>
      </c>
      <c r="K26" s="21" t="s">
        <v>28</v>
      </c>
      <c r="L26" s="26">
        <v>1E-3</v>
      </c>
      <c r="M26" s="27">
        <v>1E-3</v>
      </c>
      <c r="N26" s="27">
        <v>2E-3</v>
      </c>
      <c r="O26" s="1">
        <f t="shared" si="3"/>
        <v>1.3333333333333333E-3</v>
      </c>
      <c r="P26" s="27">
        <v>7.0000000000000001E-3</v>
      </c>
      <c r="Q26" s="27">
        <v>1.0999999999999999E-2</v>
      </c>
      <c r="R26" s="27">
        <v>8.9999999999999993E-3</v>
      </c>
      <c r="S26" s="19">
        <f t="shared" si="4"/>
        <v>8.9999999999999993E-3</v>
      </c>
      <c r="T26" s="16">
        <f t="shared" si="5"/>
        <v>6.75</v>
      </c>
    </row>
    <row r="27" spans="1:20" ht="16.2" x14ac:dyDescent="0.35">
      <c r="A27" s="10" t="s">
        <v>29</v>
      </c>
      <c r="B27" s="26">
        <v>4.1000000000000002E-2</v>
      </c>
      <c r="C27" s="27">
        <v>8.9999999999999993E-3</v>
      </c>
      <c r="D27" s="27">
        <v>1.6E-2</v>
      </c>
      <c r="E27" s="1">
        <f t="shared" si="0"/>
        <v>2.2000000000000002E-2</v>
      </c>
      <c r="F27" s="27">
        <v>7.0000000000000001E-3</v>
      </c>
      <c r="G27" s="27">
        <v>1.4E-2</v>
      </c>
      <c r="H27" s="27">
        <v>1.4E-2</v>
      </c>
      <c r="I27" s="19">
        <f t="shared" si="1"/>
        <v>1.1666666666666667E-2</v>
      </c>
      <c r="J27" s="16">
        <f t="shared" si="2"/>
        <v>0.53030303030303028</v>
      </c>
      <c r="K27" s="21" t="s">
        <v>29</v>
      </c>
      <c r="L27" s="26">
        <v>1.2E-2</v>
      </c>
      <c r="M27" s="27">
        <v>2E-3</v>
      </c>
      <c r="N27" s="27">
        <v>1E-3</v>
      </c>
      <c r="O27" s="1">
        <f t="shared" si="3"/>
        <v>5.0000000000000001E-3</v>
      </c>
      <c r="P27" s="27">
        <v>1E-3</v>
      </c>
      <c r="Q27" s="27">
        <v>4.0000000000000001E-3</v>
      </c>
      <c r="R27" s="27">
        <v>1.2E-2</v>
      </c>
      <c r="S27" s="19">
        <f t="shared" si="4"/>
        <v>5.6666666666666671E-3</v>
      </c>
      <c r="T27" s="16">
        <f t="shared" si="5"/>
        <v>1.1333333333333333</v>
      </c>
    </row>
    <row r="28" spans="1:20" ht="16.2" x14ac:dyDescent="0.35">
      <c r="A28" s="10" t="s">
        <v>30</v>
      </c>
      <c r="B28" s="26">
        <v>4.0000000000000001E-3</v>
      </c>
      <c r="C28" s="27">
        <v>5.0000000000000001E-3</v>
      </c>
      <c r="D28" s="27">
        <v>7.0000000000000001E-3</v>
      </c>
      <c r="E28" s="1">
        <f t="shared" si="0"/>
        <v>5.3333333333333332E-3</v>
      </c>
      <c r="F28" s="27">
        <v>0.01</v>
      </c>
      <c r="G28" s="27">
        <v>1.2E-2</v>
      </c>
      <c r="H28" s="27">
        <v>1.2999999999999999E-2</v>
      </c>
      <c r="I28" s="19">
        <f t="shared" si="1"/>
        <v>1.1666666666666665E-2</v>
      </c>
      <c r="J28" s="16">
        <f t="shared" si="2"/>
        <v>2.1875</v>
      </c>
      <c r="K28" s="21" t="s">
        <v>30</v>
      </c>
      <c r="L28" s="26">
        <v>0.01</v>
      </c>
      <c r="M28" s="27">
        <v>8.9999999999999993E-3</v>
      </c>
      <c r="N28" s="27">
        <v>1.4999999999999999E-2</v>
      </c>
      <c r="O28" s="1">
        <f t="shared" si="3"/>
        <v>1.1333333333333334E-2</v>
      </c>
      <c r="P28" s="27">
        <v>0.01</v>
      </c>
      <c r="Q28" s="27">
        <v>1.7999999999999999E-2</v>
      </c>
      <c r="R28" s="27">
        <v>1.2999999999999999E-2</v>
      </c>
      <c r="S28" s="19">
        <f t="shared" si="4"/>
        <v>1.3666666666666666E-2</v>
      </c>
      <c r="T28" s="16">
        <f t="shared" si="5"/>
        <v>1.2058823529411762</v>
      </c>
    </row>
    <row r="29" spans="1:20" ht="16.2" x14ac:dyDescent="0.35">
      <c r="A29" s="10" t="s">
        <v>31</v>
      </c>
      <c r="B29" s="26">
        <v>6.0000000000000001E-3</v>
      </c>
      <c r="C29" s="27">
        <v>1.2999999999999999E-2</v>
      </c>
      <c r="D29" s="27">
        <v>2E-3</v>
      </c>
      <c r="E29" s="1">
        <f t="shared" si="0"/>
        <v>6.9999999999999993E-3</v>
      </c>
      <c r="F29" s="27">
        <v>1.2999999999999999E-2</v>
      </c>
      <c r="G29" s="27">
        <v>7.0000000000000001E-3</v>
      </c>
      <c r="H29" s="27">
        <v>2.4E-2</v>
      </c>
      <c r="I29" s="19">
        <f t="shared" si="1"/>
        <v>1.4666666666666666E-2</v>
      </c>
      <c r="J29" s="16">
        <f t="shared" si="2"/>
        <v>2.0952380952380953</v>
      </c>
      <c r="K29" s="21" t="s">
        <v>31</v>
      </c>
      <c r="L29" s="26">
        <v>6.0000000000000001E-3</v>
      </c>
      <c r="M29" s="27">
        <v>7.0000000000000001E-3</v>
      </c>
      <c r="N29" s="27">
        <v>1.0999999999999999E-2</v>
      </c>
      <c r="O29" s="1">
        <f t="shared" si="3"/>
        <v>8.0000000000000002E-3</v>
      </c>
      <c r="P29" s="27">
        <v>1.2999999999999999E-2</v>
      </c>
      <c r="Q29" s="27">
        <v>1.4999999999999999E-2</v>
      </c>
      <c r="R29" s="27">
        <v>1.4999999999999999E-2</v>
      </c>
      <c r="S29" s="19">
        <f t="shared" si="4"/>
        <v>1.4333333333333332E-2</v>
      </c>
      <c r="T29" s="16">
        <f t="shared" si="5"/>
        <v>1.7916666666666665</v>
      </c>
    </row>
    <row r="30" spans="1:20" ht="16.2" x14ac:dyDescent="0.35">
      <c r="A30" s="10" t="s">
        <v>32</v>
      </c>
      <c r="B30" s="26">
        <v>8.0000000000000002E-3</v>
      </c>
      <c r="C30" s="27">
        <v>1.2E-2</v>
      </c>
      <c r="D30" s="27">
        <v>8.9999999999999993E-3</v>
      </c>
      <c r="E30" s="1">
        <f t="shared" si="0"/>
        <v>9.6666666666666654E-3</v>
      </c>
      <c r="F30" s="27">
        <v>1.4E-2</v>
      </c>
      <c r="G30" s="27">
        <v>1.4E-2</v>
      </c>
      <c r="H30" s="27">
        <v>1.6E-2</v>
      </c>
      <c r="I30" s="19">
        <f t="shared" si="1"/>
        <v>1.4666666666666666E-2</v>
      </c>
      <c r="J30" s="16">
        <f t="shared" si="2"/>
        <v>1.517241379310345</v>
      </c>
      <c r="K30" s="21" t="s">
        <v>32</v>
      </c>
      <c r="L30" s="26">
        <v>0.01</v>
      </c>
      <c r="M30" s="27">
        <v>1.2E-2</v>
      </c>
      <c r="N30" s="27">
        <v>1.7999999999999999E-2</v>
      </c>
      <c r="O30" s="1">
        <f t="shared" si="3"/>
        <v>1.3333333333333331E-2</v>
      </c>
      <c r="P30" s="27">
        <v>1.9E-2</v>
      </c>
      <c r="Q30" s="27">
        <v>2.5999999999999999E-2</v>
      </c>
      <c r="R30" s="27">
        <v>2.3E-2</v>
      </c>
      <c r="S30" s="19">
        <f t="shared" si="4"/>
        <v>2.2666666666666668E-2</v>
      </c>
      <c r="T30" s="16">
        <f t="shared" si="5"/>
        <v>1.7000000000000004</v>
      </c>
    </row>
    <row r="31" spans="1:20" ht="16.2" x14ac:dyDescent="0.35">
      <c r="A31" s="10" t="s">
        <v>33</v>
      </c>
      <c r="B31" s="26">
        <v>7.0000000000000001E-3</v>
      </c>
      <c r="C31" s="27">
        <v>5.0000000000000001E-3</v>
      </c>
      <c r="D31" s="27">
        <v>1.2E-2</v>
      </c>
      <c r="E31" s="1">
        <f t="shared" si="0"/>
        <v>8.0000000000000002E-3</v>
      </c>
      <c r="F31" s="27">
        <v>1.2999999999999999E-2</v>
      </c>
      <c r="G31" s="27">
        <v>1.7000000000000001E-2</v>
      </c>
      <c r="H31" s="27">
        <v>1.6E-2</v>
      </c>
      <c r="I31" s="19">
        <f t="shared" si="1"/>
        <v>1.5333333333333332E-2</v>
      </c>
      <c r="J31" s="16">
        <f t="shared" si="2"/>
        <v>1.9166666666666665</v>
      </c>
      <c r="K31" s="21" t="s">
        <v>33</v>
      </c>
      <c r="L31" s="26">
        <v>8.9999999999999993E-3</v>
      </c>
      <c r="M31" s="27">
        <v>4.0000000000000001E-3</v>
      </c>
      <c r="N31" s="27">
        <v>1.2999999999999999E-2</v>
      </c>
      <c r="O31" s="1">
        <f t="shared" si="3"/>
        <v>8.6666666666666663E-3</v>
      </c>
      <c r="P31" s="27">
        <v>0.01</v>
      </c>
      <c r="Q31" s="27">
        <v>0.02</v>
      </c>
      <c r="R31" s="27">
        <v>1.4999999999999999E-2</v>
      </c>
      <c r="S31" s="19">
        <f t="shared" si="4"/>
        <v>1.4999999999999999E-2</v>
      </c>
      <c r="T31" s="16">
        <f t="shared" si="5"/>
        <v>1.7307692307692308</v>
      </c>
    </row>
    <row r="32" spans="1:20" ht="16.2" x14ac:dyDescent="0.35">
      <c r="A32" s="10" t="s">
        <v>34</v>
      </c>
      <c r="B32" s="26">
        <v>6.0000000000000001E-3</v>
      </c>
      <c r="C32" s="27">
        <v>5.0000000000000001E-3</v>
      </c>
      <c r="D32" s="27">
        <v>6.0000000000000001E-3</v>
      </c>
      <c r="E32" s="1">
        <f t="shared" si="0"/>
        <v>5.6666666666666671E-3</v>
      </c>
      <c r="F32" s="27">
        <v>0.01</v>
      </c>
      <c r="G32" s="27">
        <v>1.2999999999999999E-2</v>
      </c>
      <c r="H32" s="27">
        <v>1.2999999999999999E-2</v>
      </c>
      <c r="I32" s="19">
        <f t="shared" si="1"/>
        <v>1.1999999999999999E-2</v>
      </c>
      <c r="J32" s="16">
        <f t="shared" si="2"/>
        <v>2.117647058823529</v>
      </c>
      <c r="K32" s="21" t="s">
        <v>34</v>
      </c>
      <c r="L32" s="26">
        <v>6.0000000000000001E-3</v>
      </c>
      <c r="M32" s="27">
        <v>7.0000000000000001E-3</v>
      </c>
      <c r="N32" s="27">
        <v>7.0000000000000001E-3</v>
      </c>
      <c r="O32" s="1">
        <f t="shared" si="3"/>
        <v>6.6666666666666671E-3</v>
      </c>
      <c r="P32" s="27">
        <v>1.2E-2</v>
      </c>
      <c r="Q32" s="27">
        <v>1.2E-2</v>
      </c>
      <c r="R32" s="27">
        <v>1.4E-2</v>
      </c>
      <c r="S32" s="19">
        <f t="shared" si="4"/>
        <v>1.2666666666666666E-2</v>
      </c>
      <c r="T32" s="16">
        <f t="shared" si="5"/>
        <v>1.9</v>
      </c>
    </row>
    <row r="33" spans="1:20" ht="16.2" x14ac:dyDescent="0.35">
      <c r="A33" s="10" t="s">
        <v>35</v>
      </c>
      <c r="B33" s="26">
        <v>6.0000000000000001E-3</v>
      </c>
      <c r="C33" s="27">
        <v>6.0000000000000001E-3</v>
      </c>
      <c r="D33" s="27">
        <v>7.0000000000000001E-3</v>
      </c>
      <c r="E33" s="1">
        <f t="shared" si="0"/>
        <v>6.3333333333333332E-3</v>
      </c>
      <c r="F33" s="27">
        <v>1.2E-2</v>
      </c>
      <c r="G33" s="27">
        <v>1.2999999999999999E-2</v>
      </c>
      <c r="H33" s="27">
        <v>1.4999999999999999E-2</v>
      </c>
      <c r="I33" s="19">
        <f t="shared" si="1"/>
        <v>1.3333333333333334E-2</v>
      </c>
      <c r="J33" s="16">
        <f t="shared" si="2"/>
        <v>2.1052631578947372</v>
      </c>
      <c r="K33" s="21" t="s">
        <v>35</v>
      </c>
      <c r="L33" s="26">
        <v>6.0000000000000001E-3</v>
      </c>
      <c r="M33" s="27">
        <v>1.2E-2</v>
      </c>
      <c r="N33" s="27">
        <v>0.01</v>
      </c>
      <c r="O33" s="1">
        <f t="shared" si="3"/>
        <v>9.3333333333333341E-3</v>
      </c>
      <c r="P33" s="27">
        <v>1.2999999999999999E-2</v>
      </c>
      <c r="Q33" s="27">
        <v>1.2999999999999999E-2</v>
      </c>
      <c r="R33" s="27">
        <v>1.2999999999999999E-2</v>
      </c>
      <c r="S33" s="19">
        <f t="shared" si="4"/>
        <v>1.2999999999999999E-2</v>
      </c>
      <c r="T33" s="16">
        <f t="shared" si="5"/>
        <v>1.3928571428571426</v>
      </c>
    </row>
    <row r="34" spans="1:20" ht="16.2" x14ac:dyDescent="0.35">
      <c r="A34" s="10" t="s">
        <v>36</v>
      </c>
      <c r="B34" s="26">
        <v>2E-3</v>
      </c>
      <c r="C34" s="27">
        <v>6.0000000000000001E-3</v>
      </c>
      <c r="D34" s="27">
        <v>6.0000000000000001E-3</v>
      </c>
      <c r="E34" s="1">
        <f t="shared" si="0"/>
        <v>4.6666666666666671E-3</v>
      </c>
      <c r="F34" s="27">
        <v>0.01</v>
      </c>
      <c r="G34" s="27">
        <v>1.2999999999999999E-2</v>
      </c>
      <c r="H34" s="27">
        <v>1.2E-2</v>
      </c>
      <c r="I34" s="19">
        <f t="shared" si="1"/>
        <v>1.1666666666666667E-2</v>
      </c>
      <c r="J34" s="16">
        <f t="shared" si="2"/>
        <v>2.5</v>
      </c>
      <c r="K34" s="21" t="s">
        <v>36</v>
      </c>
      <c r="L34" s="26">
        <v>2E-3</v>
      </c>
      <c r="M34" s="27">
        <v>4.0000000000000001E-3</v>
      </c>
      <c r="N34" s="27">
        <v>5.0000000000000001E-3</v>
      </c>
      <c r="O34" s="1">
        <f t="shared" si="3"/>
        <v>3.6666666666666666E-3</v>
      </c>
      <c r="P34" s="27">
        <v>1.2999999999999999E-2</v>
      </c>
      <c r="Q34" s="27">
        <v>1.4999999999999999E-2</v>
      </c>
      <c r="R34" s="27">
        <v>1.4E-2</v>
      </c>
      <c r="S34" s="19">
        <f t="shared" si="4"/>
        <v>1.3999999999999999E-2</v>
      </c>
      <c r="T34" s="16">
        <f t="shared" si="5"/>
        <v>3.8181818181818179</v>
      </c>
    </row>
    <row r="35" spans="1:20" ht="16.8" thickBot="1" x14ac:dyDescent="0.4">
      <c r="A35" s="11" t="s">
        <v>37</v>
      </c>
      <c r="B35" s="28">
        <v>5.0000000000000001E-3</v>
      </c>
      <c r="C35" s="29">
        <v>3.0000000000000001E-3</v>
      </c>
      <c r="D35" s="29">
        <v>5.0000000000000001E-3</v>
      </c>
      <c r="E35" s="14">
        <f t="shared" si="0"/>
        <v>4.333333333333334E-3</v>
      </c>
      <c r="F35" s="29">
        <v>5.0000000000000001E-3</v>
      </c>
      <c r="G35" s="29">
        <v>5.0000000000000001E-3</v>
      </c>
      <c r="H35" s="29">
        <v>0.01</v>
      </c>
      <c r="I35" s="20">
        <f t="shared" si="1"/>
        <v>6.6666666666666671E-3</v>
      </c>
      <c r="J35" s="17">
        <f t="shared" si="2"/>
        <v>1.5384615384615383</v>
      </c>
      <c r="K35" s="22" t="s">
        <v>37</v>
      </c>
      <c r="L35" s="28">
        <v>7.0000000000000001E-3</v>
      </c>
      <c r="M35" s="29">
        <v>1E-3</v>
      </c>
      <c r="N35" s="29">
        <v>1E-3</v>
      </c>
      <c r="O35" s="14">
        <f t="shared" si="3"/>
        <v>3.0000000000000005E-3</v>
      </c>
      <c r="P35" s="29">
        <v>3.0000000000000001E-3</v>
      </c>
      <c r="Q35" s="29">
        <v>1.4E-2</v>
      </c>
      <c r="R35" s="29">
        <v>1.2999999999999999E-2</v>
      </c>
      <c r="S35" s="20">
        <f t="shared" si="4"/>
        <v>0.01</v>
      </c>
      <c r="T35" s="17">
        <f t="shared" si="5"/>
        <v>3.333333333333333</v>
      </c>
    </row>
  </sheetData>
  <mergeCells count="7">
    <mergeCell ref="B3:D3"/>
    <mergeCell ref="F3:H3"/>
    <mergeCell ref="L3:N3"/>
    <mergeCell ref="P3:R3"/>
    <mergeCell ref="A1:T1"/>
    <mergeCell ref="A2:I2"/>
    <mergeCell ref="K2:S2"/>
  </mergeCells>
  <phoneticPr fontId="2" type="noConversion"/>
  <conditionalFormatting sqref="B4:D35 F4:H35 L4:N35 P4:R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ying liu</cp:lastModifiedBy>
  <dcterms:created xsi:type="dcterms:W3CDTF">2026-06-11T08:56:19Z</dcterms:created>
  <dcterms:modified xsi:type="dcterms:W3CDTF">2026-06-12T15:51:36Z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1E820C110C6E4525B46311B2C894D804_11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